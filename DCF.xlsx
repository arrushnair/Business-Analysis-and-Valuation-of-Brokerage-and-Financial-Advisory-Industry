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tilal Oswal" sheetId="1" r:id="rId4"/>
    <sheet state="visible" name="Prudent" sheetId="2" r:id="rId5"/>
    <sheet state="visible" name="Angel One" sheetId="3" r:id="rId6"/>
  </sheets>
  <definedNames/>
  <calcPr/>
</workbook>
</file>

<file path=xl/sharedStrings.xml><?xml version="1.0" encoding="utf-8"?>
<sst xmlns="http://schemas.openxmlformats.org/spreadsheetml/2006/main" count="81" uniqueCount="43">
  <si>
    <t>Motilal Ostwal</t>
  </si>
  <si>
    <t>(All figures are in crores)</t>
  </si>
  <si>
    <t>Discount rate</t>
  </si>
  <si>
    <t>Average GDP growth over 5 years</t>
  </si>
  <si>
    <t xml:space="preserve">Sector Growth Rate </t>
  </si>
  <si>
    <t>Average Div payout ratio over 5 years</t>
  </si>
  <si>
    <t>TV</t>
  </si>
  <si>
    <t>Discount Rate</t>
  </si>
  <si>
    <t xml:space="preserve">Average Retention ratio over 5 years </t>
  </si>
  <si>
    <t>TV DISCOUNTED</t>
  </si>
  <si>
    <t xml:space="preserve">terminal vlaue - perpetuity </t>
  </si>
  <si>
    <t>Average ROE over 5 years</t>
  </si>
  <si>
    <t>industry groeth rate</t>
  </si>
  <si>
    <t>Growth rate</t>
  </si>
  <si>
    <t>currenct cash flow</t>
  </si>
  <si>
    <t>current company wise growth rate which will use for 2 year</t>
  </si>
  <si>
    <t>EBIT</t>
  </si>
  <si>
    <t>TAX RATE</t>
  </si>
  <si>
    <t>EBIT(1-TAX)</t>
  </si>
  <si>
    <t>ADD:DEPR</t>
  </si>
  <si>
    <t>LESS: CAPEX</t>
  </si>
  <si>
    <t>LESS: CHANGE IN WC</t>
  </si>
  <si>
    <t>FREE CASH FLOW TO THE FIRM</t>
  </si>
  <si>
    <t>Discounted CF</t>
  </si>
  <si>
    <t>EV</t>
  </si>
  <si>
    <t>EV FROM GOOGLE</t>
  </si>
  <si>
    <t>Undervalued slightly</t>
  </si>
  <si>
    <t xml:space="preserve">1)CURRENT YEAR CASH FLOW </t>
  </si>
  <si>
    <t>2) FIND EBIT GROWTH RATE</t>
  </si>
  <si>
    <t xml:space="preserve">3)FOR 2 YEARS CAPEX AND CHANGE IN WORKING CAPITAL IS CONSTANT </t>
  </si>
  <si>
    <t>4) FROM 3RD YEAR INDUSTRY GROTH RATE IS FOLLOWED</t>
  </si>
  <si>
    <t>5)TERMINAL VALUE CALCULATIONS</t>
  </si>
  <si>
    <t xml:space="preserve">6) DISCOUNT TO PV </t>
  </si>
  <si>
    <t>k</t>
  </si>
  <si>
    <t xml:space="preserve">GDP growth </t>
  </si>
  <si>
    <t>for 3 years</t>
  </si>
  <si>
    <t>Div payout ratio</t>
  </si>
  <si>
    <t xml:space="preserve">Retention ratio </t>
  </si>
  <si>
    <t>ROE</t>
  </si>
  <si>
    <t>Overvalued</t>
  </si>
  <si>
    <t>Angel One</t>
  </si>
  <si>
    <t>for 4 years</t>
  </si>
  <si>
    <t>Slightly Overvalued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</si>
</sst>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%"/>
    <numFmt numFmtId="165" formatCode="0.000"/>
  </numFmts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0" fontId="2" numFmtId="165" xfId="0" applyAlignment="1" applyFont="1" applyNumberFormat="1">
      <alignment horizontal="center"/>
    </xf>
    <xf borderId="0" fillId="0" fontId="2" numFmtId="10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9" xfId="0" applyAlignment="1" applyFont="1" applyNumberForma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4" fontId="3" numFmtId="165" xfId="0" applyAlignment="1" applyFill="1" applyFont="1" applyNumberFormat="1">
      <alignment horizontal="center"/>
    </xf>
    <xf borderId="0" fillId="0" fontId="3" numFmtId="165" xfId="0" applyAlignment="1" applyFont="1" applyNumberFormat="1">
      <alignment horizontal="center" readingOrder="0"/>
    </xf>
    <xf borderId="0" fillId="4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2" numFmtId="9" xfId="0" applyAlignment="1" applyFont="1" applyNumberFormat="1">
      <alignment horizontal="center"/>
    </xf>
    <xf borderId="0" fillId="4" fontId="3" numFmtId="0" xfId="0" applyAlignment="1" applyFont="1">
      <alignment horizontal="center"/>
    </xf>
    <xf borderId="0" fillId="5" fontId="3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9.63"/>
    <col customWidth="1" min="2" max="2" width="28.88"/>
    <col customWidth="1" min="7" max="7" width="14.63"/>
    <col customWidth="1" min="9" max="9" width="38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4">
        <v>0.0904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3" t="s">
        <v>3</v>
      </c>
      <c r="C3" s="4">
        <v>0.06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5" t="s">
        <v>4</v>
      </c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3" t="s">
        <v>5</v>
      </c>
      <c r="C4" s="4">
        <v>0.16</v>
      </c>
      <c r="D4" s="2"/>
      <c r="E4" s="2"/>
      <c r="F4" s="2"/>
      <c r="G4" s="6" t="s">
        <v>6</v>
      </c>
      <c r="H4" s="7">
        <f>G16/(0.0904-0.06)</f>
        <v>82169.61733</v>
      </c>
      <c r="I4" s="2"/>
      <c r="J4" s="2"/>
      <c r="K4" s="2"/>
      <c r="L4" s="2"/>
      <c r="M4" s="2"/>
      <c r="N4" s="2"/>
      <c r="O4" s="2"/>
      <c r="P4" s="2"/>
      <c r="Q4" s="5" t="s">
        <v>7</v>
      </c>
      <c r="R4" s="2"/>
      <c r="S4" s="8">
        <v>0.0648</v>
      </c>
      <c r="T4" s="2"/>
      <c r="U4" s="2"/>
      <c r="V4" s="2"/>
      <c r="W4" s="2"/>
      <c r="X4" s="2"/>
      <c r="Y4" s="2"/>
      <c r="Z4" s="2"/>
    </row>
    <row r="5">
      <c r="A5" s="2"/>
      <c r="B5" s="3" t="s">
        <v>8</v>
      </c>
      <c r="C5" s="4">
        <f>1-C4</f>
        <v>0.84</v>
      </c>
      <c r="D5" s="2"/>
      <c r="E5" s="2"/>
      <c r="F5" s="2"/>
      <c r="G5" s="6" t="s">
        <v>9</v>
      </c>
      <c r="H5" s="7">
        <f>H4/(1+0.0904)^4</f>
        <v>58125.65945</v>
      </c>
      <c r="I5" s="5"/>
      <c r="J5" s="2"/>
      <c r="K5" s="2"/>
      <c r="L5" s="2"/>
      <c r="M5" s="2"/>
      <c r="N5" s="2"/>
      <c r="O5" s="2"/>
      <c r="P5" s="2"/>
      <c r="Q5" s="5" t="s">
        <v>10</v>
      </c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3" t="s">
        <v>11</v>
      </c>
      <c r="C6" s="4">
        <v>0.244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5" t="s">
        <v>12</v>
      </c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3" t="s">
        <v>13</v>
      </c>
      <c r="C7" s="9">
        <f>C6*C5</f>
        <v>0.20496</v>
      </c>
      <c r="D7" s="2"/>
      <c r="E7" s="8"/>
      <c r="F7" s="8"/>
      <c r="G7" s="10"/>
      <c r="H7" s="2"/>
      <c r="I7" s="2"/>
      <c r="J7" s="2"/>
      <c r="K7" s="2"/>
      <c r="L7" s="2"/>
      <c r="M7" s="2"/>
      <c r="N7" s="2"/>
      <c r="O7" s="2"/>
      <c r="P7" s="2"/>
      <c r="Q7" s="5" t="s">
        <v>14</v>
      </c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5" t="s">
        <v>15</v>
      </c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1">
        <v>2024.0</v>
      </c>
      <c r="C9" s="11">
        <v>2025.0</v>
      </c>
      <c r="D9" s="11">
        <v>2026.0</v>
      </c>
      <c r="E9" s="11">
        <v>2027.0</v>
      </c>
      <c r="F9" s="11">
        <v>2028.0</v>
      </c>
      <c r="G9" s="11">
        <v>2029.0</v>
      </c>
      <c r="H9" s="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16</v>
      </c>
      <c r="B10" s="12">
        <v>4046.0</v>
      </c>
      <c r="C10" s="7">
        <f t="shared" ref="C10:G10" si="1">B10*(1+$C7)</f>
        <v>4875.26816</v>
      </c>
      <c r="D10" s="7">
        <f t="shared" si="1"/>
        <v>5874.503122</v>
      </c>
      <c r="E10" s="7">
        <f t="shared" si="1"/>
        <v>7078.541282</v>
      </c>
      <c r="F10" s="7">
        <f t="shared" si="1"/>
        <v>8529.359103</v>
      </c>
      <c r="G10" s="7">
        <f t="shared" si="1"/>
        <v>10277.53654</v>
      </c>
      <c r="H10" s="2"/>
      <c r="I10" s="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17</v>
      </c>
      <c r="B11" s="12">
        <v>0.19</v>
      </c>
      <c r="C11" s="12">
        <f t="shared" ref="C11:E11" si="2">B11*(1+$C7)</f>
        <v>0.2289424</v>
      </c>
      <c r="D11" s="12">
        <f t="shared" si="2"/>
        <v>0.2758664343</v>
      </c>
      <c r="E11" s="12">
        <f t="shared" si="2"/>
        <v>0.3324080187</v>
      </c>
      <c r="F11" s="12">
        <f>E11*1</f>
        <v>0.3324080187</v>
      </c>
      <c r="G11" s="12">
        <f>E11</f>
        <v>0.3324080187</v>
      </c>
      <c r="H11" s="2"/>
      <c r="I11" s="5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18</v>
      </c>
      <c r="B12" s="7">
        <f t="shared" ref="B12:G12" si="3">B10*(1-B11)</f>
        <v>3277.26</v>
      </c>
      <c r="C12" s="7">
        <f t="shared" si="3"/>
        <v>3759.112567</v>
      </c>
      <c r="D12" s="7">
        <f t="shared" si="3"/>
        <v>4253.924892</v>
      </c>
      <c r="E12" s="7">
        <f t="shared" si="3"/>
        <v>4725.577399</v>
      </c>
      <c r="F12" s="7">
        <f t="shared" si="3"/>
        <v>5694.131743</v>
      </c>
      <c r="G12" s="7">
        <f t="shared" si="3"/>
        <v>6861.200985</v>
      </c>
      <c r="H12" s="2"/>
      <c r="I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19</v>
      </c>
      <c r="B13" s="12">
        <v>83.0</v>
      </c>
      <c r="C13" s="12">
        <f t="shared" ref="C13:G13" si="4">B13*(1+$C7)</f>
        <v>100.01168</v>
      </c>
      <c r="D13" s="12">
        <f t="shared" si="4"/>
        <v>120.5100739</v>
      </c>
      <c r="E13" s="12">
        <f t="shared" si="4"/>
        <v>145.2098187</v>
      </c>
      <c r="F13" s="12">
        <f t="shared" si="4"/>
        <v>174.9720231</v>
      </c>
      <c r="G13" s="12">
        <f t="shared" si="4"/>
        <v>210.834289</v>
      </c>
      <c r="H13" s="2"/>
      <c r="I13" s="5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20</v>
      </c>
      <c r="B14" s="12">
        <v>226.0</v>
      </c>
      <c r="C14" s="12">
        <f t="shared" ref="C14:G14" si="5">B14*(1+$C7)</f>
        <v>272.32096</v>
      </c>
      <c r="D14" s="12">
        <f t="shared" si="5"/>
        <v>328.135864</v>
      </c>
      <c r="E14" s="12">
        <f t="shared" si="5"/>
        <v>395.3905906</v>
      </c>
      <c r="F14" s="12">
        <f t="shared" si="5"/>
        <v>476.4298461</v>
      </c>
      <c r="G14" s="12">
        <f t="shared" si="5"/>
        <v>574.0789074</v>
      </c>
      <c r="H14" s="2"/>
      <c r="I14" s="5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21</v>
      </c>
      <c r="B15" s="12">
        <v>4000.0</v>
      </c>
      <c r="C15" s="12">
        <v>4000.0</v>
      </c>
      <c r="D15" s="12">
        <v>4000.0</v>
      </c>
      <c r="E15" s="12">
        <v>4000.0</v>
      </c>
      <c r="F15" s="12">
        <v>4000.0</v>
      </c>
      <c r="G15" s="12">
        <v>4000.0</v>
      </c>
      <c r="H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22</v>
      </c>
      <c r="B16" s="7">
        <f t="shared" ref="B16:G16" si="6">B12+B13-B14-B15</f>
        <v>-865.74</v>
      </c>
      <c r="C16" s="7">
        <f t="shared" si="6"/>
        <v>-413.1967132</v>
      </c>
      <c r="D16" s="7">
        <f t="shared" si="6"/>
        <v>46.29910245</v>
      </c>
      <c r="E16" s="7">
        <f t="shared" si="6"/>
        <v>475.3966273</v>
      </c>
      <c r="F16" s="7">
        <f t="shared" si="6"/>
        <v>1392.67392</v>
      </c>
      <c r="G16" s="7">
        <f t="shared" si="6"/>
        <v>2497.956367</v>
      </c>
      <c r="H16" s="2"/>
      <c r="I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23</v>
      </c>
      <c r="B17" s="7">
        <f>B16/((1+$C2)^0)</f>
        <v>-865.74</v>
      </c>
      <c r="C17" s="7">
        <f>C16/((1+$C2)^1)</f>
        <v>-378.9404927</v>
      </c>
      <c r="D17" s="7">
        <f>D16/((1+$C2)^2)</f>
        <v>38.94044285</v>
      </c>
      <c r="E17" s="7">
        <f>E16/((1+$C2)^3)</f>
        <v>366.689579</v>
      </c>
      <c r="F17" s="7">
        <f>F16/((1+$C2)^4)</f>
        <v>985.1584155</v>
      </c>
      <c r="G17" s="7"/>
      <c r="H17" s="2"/>
      <c r="I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24</v>
      </c>
      <c r="B18" s="13">
        <f>SUM(B17:F17)+H5</f>
        <v>58271.7674</v>
      </c>
      <c r="C18" s="7"/>
      <c r="D18" s="7"/>
      <c r="E18" s="7"/>
      <c r="F18" s="7"/>
      <c r="G18" s="7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25</v>
      </c>
      <c r="B19" s="14">
        <v>56571.0</v>
      </c>
      <c r="C19" s="7"/>
      <c r="D19" s="7"/>
      <c r="E19" s="7"/>
      <c r="F19" s="7"/>
      <c r="G19" s="7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5" t="s">
        <v>26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5" t="s">
        <v>27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5" t="s">
        <v>28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5" t="s">
        <v>29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5" t="s">
        <v>30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5" t="s">
        <v>31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5" t="s">
        <v>32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6.13"/>
    <col customWidth="1" min="2" max="2" width="14.38"/>
    <col customWidth="1" min="7" max="7" width="14.63"/>
    <col customWidth="1" min="12" max="12" width="38.13"/>
  </cols>
  <sheetData>
    <row r="1">
      <c r="A1" s="1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8">
        <v>0.1524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6"/>
      <c r="B3" s="3" t="s">
        <v>34</v>
      </c>
      <c r="C3" s="10">
        <v>0.08086</v>
      </c>
      <c r="D3" s="5" t="s">
        <v>35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6"/>
      <c r="B4" s="3" t="s">
        <v>36</v>
      </c>
      <c r="C4" s="8">
        <v>0.0533</v>
      </c>
      <c r="D4" s="5" t="s">
        <v>35</v>
      </c>
      <c r="E4" s="2"/>
      <c r="F4" s="2"/>
      <c r="G4" s="6" t="s">
        <v>6</v>
      </c>
      <c r="H4" s="2">
        <f>J16/(0.1524-0.08)</f>
        <v>20093.53146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6"/>
      <c r="B5" s="3" t="s">
        <v>37</v>
      </c>
      <c r="C5" s="8">
        <f>1-C4</f>
        <v>0.9467</v>
      </c>
      <c r="D5" s="2"/>
      <c r="E5" s="2"/>
      <c r="F5" s="2"/>
      <c r="G5" s="6" t="s">
        <v>9</v>
      </c>
      <c r="H5" s="2">
        <f>H4/(1+0.1524)^7</f>
        <v>7444.465538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6"/>
      <c r="B6" s="3" t="s">
        <v>38</v>
      </c>
      <c r="C6" s="8">
        <v>0.37</v>
      </c>
      <c r="D6" s="5" t="s">
        <v>35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6"/>
      <c r="B7" s="3" t="s">
        <v>13</v>
      </c>
      <c r="C7" s="17">
        <f>C6*C5</f>
        <v>0.350279</v>
      </c>
      <c r="D7" s="2"/>
      <c r="E7" s="8"/>
      <c r="F7" s="8"/>
      <c r="G7" s="10"/>
      <c r="H7" s="2"/>
      <c r="I7" s="8"/>
      <c r="J7" s="2"/>
      <c r="K7" s="2"/>
      <c r="L7" s="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6"/>
      <c r="B9" s="11">
        <v>2024.0</v>
      </c>
      <c r="C9" s="11">
        <v>2025.0</v>
      </c>
      <c r="D9" s="11">
        <v>2026.0</v>
      </c>
      <c r="E9" s="11">
        <v>2027.0</v>
      </c>
      <c r="F9" s="11">
        <v>2028.0</v>
      </c>
      <c r="G9" s="11">
        <v>2029.0</v>
      </c>
      <c r="H9" s="11">
        <v>2030.0</v>
      </c>
      <c r="I9" s="11">
        <v>2031.0</v>
      </c>
      <c r="J9" s="11">
        <v>2032.0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16</v>
      </c>
      <c r="B10" s="5">
        <v>188.0</v>
      </c>
      <c r="C10" s="2">
        <f t="shared" ref="C10:J10" si="1">B10*(1+$C7)</f>
        <v>253.852452</v>
      </c>
      <c r="D10" s="2">
        <f t="shared" si="1"/>
        <v>342.771635</v>
      </c>
      <c r="E10" s="2">
        <f t="shared" si="1"/>
        <v>462.8373406</v>
      </c>
      <c r="F10" s="2">
        <f t="shared" si="1"/>
        <v>624.9595414</v>
      </c>
      <c r="G10" s="2">
        <f t="shared" si="1"/>
        <v>843.8697446</v>
      </c>
      <c r="H10" s="2">
        <f t="shared" si="1"/>
        <v>1139.459595</v>
      </c>
      <c r="I10" s="2">
        <f t="shared" si="1"/>
        <v>1538.588362</v>
      </c>
      <c r="J10" s="2">
        <f t="shared" si="1"/>
        <v>2077.523555</v>
      </c>
      <c r="K10" s="2"/>
      <c r="L10" s="5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17</v>
      </c>
      <c r="B11" s="10">
        <v>0.25</v>
      </c>
      <c r="C11" s="10">
        <f>B11*(1+$C7)</f>
        <v>0.33756975</v>
      </c>
      <c r="D11" s="10">
        <f t="shared" ref="D11:J11" si="2">C11</f>
        <v>0.33756975</v>
      </c>
      <c r="E11" s="10">
        <f t="shared" si="2"/>
        <v>0.33756975</v>
      </c>
      <c r="F11" s="10">
        <f t="shared" si="2"/>
        <v>0.33756975</v>
      </c>
      <c r="G11" s="10">
        <f t="shared" si="2"/>
        <v>0.33756975</v>
      </c>
      <c r="H11" s="10">
        <f t="shared" si="2"/>
        <v>0.33756975</v>
      </c>
      <c r="I11" s="10">
        <f t="shared" si="2"/>
        <v>0.33756975</v>
      </c>
      <c r="J11" s="10">
        <f t="shared" si="2"/>
        <v>0.33756975</v>
      </c>
      <c r="K11" s="2"/>
      <c r="L11" s="5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18</v>
      </c>
      <c r="B12" s="2">
        <f t="shared" ref="B12:J12" si="3">B10*(1-B11)</f>
        <v>141</v>
      </c>
      <c r="C12" s="2">
        <f t="shared" si="3"/>
        <v>168.1595432</v>
      </c>
      <c r="D12" s="2">
        <f t="shared" si="3"/>
        <v>227.0622999</v>
      </c>
      <c r="E12" s="2">
        <f t="shared" si="3"/>
        <v>306.5974552</v>
      </c>
      <c r="F12" s="2">
        <f t="shared" si="3"/>
        <v>413.9921053</v>
      </c>
      <c r="G12" s="2">
        <f t="shared" si="3"/>
        <v>559.0048459</v>
      </c>
      <c r="H12" s="2">
        <f t="shared" si="3"/>
        <v>754.8125043</v>
      </c>
      <c r="I12" s="2">
        <f t="shared" si="3"/>
        <v>1019.207473</v>
      </c>
      <c r="J12" s="2">
        <f t="shared" si="3"/>
        <v>1376.214448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19</v>
      </c>
      <c r="B13" s="5">
        <v>25.0</v>
      </c>
      <c r="C13" s="5">
        <f t="shared" ref="C13:J13" si="4">B13*(1+$C7)</f>
        <v>33.756975</v>
      </c>
      <c r="D13" s="5">
        <f t="shared" si="4"/>
        <v>45.58133445</v>
      </c>
      <c r="E13" s="5">
        <f t="shared" si="4"/>
        <v>61.54751869</v>
      </c>
      <c r="F13" s="5">
        <f t="shared" si="4"/>
        <v>83.106322</v>
      </c>
      <c r="G13" s="5">
        <f t="shared" si="4"/>
        <v>112.2167214</v>
      </c>
      <c r="H13" s="5">
        <f t="shared" si="4"/>
        <v>151.5238823</v>
      </c>
      <c r="I13" s="5">
        <f t="shared" si="4"/>
        <v>204.5995163</v>
      </c>
      <c r="J13" s="5">
        <f t="shared" si="4"/>
        <v>276.2664302</v>
      </c>
      <c r="K13" s="2"/>
      <c r="L13" s="5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20</v>
      </c>
      <c r="B14" s="5">
        <v>14.0</v>
      </c>
      <c r="C14" s="5">
        <f t="shared" ref="C14:J14" si="5">B14*(1+$C7)</f>
        <v>18.903906</v>
      </c>
      <c r="D14" s="5">
        <f t="shared" si="5"/>
        <v>25.52554729</v>
      </c>
      <c r="E14" s="5">
        <f t="shared" si="5"/>
        <v>34.46661047</v>
      </c>
      <c r="F14" s="5">
        <f t="shared" si="5"/>
        <v>46.53954032</v>
      </c>
      <c r="G14" s="5">
        <f t="shared" si="5"/>
        <v>62.84136396</v>
      </c>
      <c r="H14" s="5">
        <f t="shared" si="5"/>
        <v>84.85337409</v>
      </c>
      <c r="I14" s="5">
        <f t="shared" si="5"/>
        <v>114.5757291</v>
      </c>
      <c r="J14" s="5">
        <f t="shared" si="5"/>
        <v>154.7092009</v>
      </c>
      <c r="K14" s="2"/>
      <c r="L14" s="5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21</v>
      </c>
      <c r="B15" s="5">
        <v>43.0</v>
      </c>
      <c r="C15" s="5">
        <v>43.0</v>
      </c>
      <c r="D15" s="5">
        <v>43.0</v>
      </c>
      <c r="E15" s="5">
        <v>43.0</v>
      </c>
      <c r="F15" s="5">
        <v>43.0</v>
      </c>
      <c r="G15" s="5">
        <v>43.0</v>
      </c>
      <c r="H15" s="2">
        <f t="shared" ref="H15:J15" si="6">G15</f>
        <v>43</v>
      </c>
      <c r="I15" s="2">
        <f t="shared" si="6"/>
        <v>43</v>
      </c>
      <c r="J15" s="2">
        <f t="shared" si="6"/>
        <v>43</v>
      </c>
      <c r="K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22</v>
      </c>
      <c r="B16" s="2">
        <f t="shared" ref="B16:J16" si="7">B12+B13-B14-B15</f>
        <v>109</v>
      </c>
      <c r="C16" s="2">
        <f t="shared" si="7"/>
        <v>140.0126122</v>
      </c>
      <c r="D16" s="2">
        <f t="shared" si="7"/>
        <v>204.118087</v>
      </c>
      <c r="E16" s="2">
        <f t="shared" si="7"/>
        <v>290.6783635</v>
      </c>
      <c r="F16" s="2">
        <f t="shared" si="7"/>
        <v>407.5588869</v>
      </c>
      <c r="G16" s="2">
        <f t="shared" si="7"/>
        <v>565.3802033</v>
      </c>
      <c r="H16" s="2">
        <f t="shared" si="7"/>
        <v>778.4830125</v>
      </c>
      <c r="I16" s="2">
        <f t="shared" si="7"/>
        <v>1066.231261</v>
      </c>
      <c r="J16" s="2">
        <f t="shared" si="7"/>
        <v>1454.771677</v>
      </c>
      <c r="K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23</v>
      </c>
      <c r="B17" s="2">
        <f>B16/((1+$C2)^0)</f>
        <v>109</v>
      </c>
      <c r="C17" s="2">
        <f>C16/((1+$C2)^1)</f>
        <v>121.4965396</v>
      </c>
      <c r="D17" s="2">
        <f>D16/((1+$C2)^2)</f>
        <v>153.7003974</v>
      </c>
      <c r="E17" s="2">
        <f>E16/((1+$C2)^3)</f>
        <v>189.9341063</v>
      </c>
      <c r="F17" s="2">
        <f>F16/((1+$C2)^4)</f>
        <v>231.0879868</v>
      </c>
      <c r="G17" s="2">
        <f>G16/((1+$C2)^5)</f>
        <v>278.1790051</v>
      </c>
      <c r="H17" s="2">
        <f>H16/((1+$C2)^6)</f>
        <v>332.3759889</v>
      </c>
      <c r="I17" s="2">
        <f>I16/((1+$C2)^7)</f>
        <v>395.0287133</v>
      </c>
      <c r="J17" s="2"/>
      <c r="K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24</v>
      </c>
      <c r="B18" s="18">
        <f>SUM(B17:I17)+H5</f>
        <v>9255.268276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25</v>
      </c>
      <c r="B19" s="15">
        <v>12338.0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6"/>
      <c r="B20" s="15" t="s">
        <v>39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6.88"/>
    <col customWidth="1" min="2" max="2" width="25.5"/>
    <col customWidth="1" min="7" max="7" width="14.63"/>
    <col customWidth="1" min="10" max="10" width="50.75"/>
  </cols>
  <sheetData>
    <row r="1">
      <c r="A1" s="1" t="s">
        <v>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8">
        <v>0.1064</v>
      </c>
      <c r="D2" s="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6"/>
      <c r="B3" s="3" t="s">
        <v>34</v>
      </c>
      <c r="C3" s="8">
        <v>0.055</v>
      </c>
      <c r="D3" s="5" t="s">
        <v>41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6"/>
      <c r="B4" s="3" t="s">
        <v>36</v>
      </c>
      <c r="C4" s="8">
        <v>0.335</v>
      </c>
      <c r="D4" s="5" t="s">
        <v>41</v>
      </c>
      <c r="E4" s="2"/>
      <c r="F4" s="2"/>
      <c r="G4" s="6" t="s">
        <v>6</v>
      </c>
      <c r="H4" s="2">
        <f>I16/(0.1064-0.055)</f>
        <v>48932.31741</v>
      </c>
      <c r="I4" s="2"/>
      <c r="J4" s="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6"/>
      <c r="B5" s="3" t="s">
        <v>37</v>
      </c>
      <c r="C5" s="8">
        <f>1-C4</f>
        <v>0.665</v>
      </c>
      <c r="D5" s="2"/>
      <c r="E5" s="2"/>
      <c r="F5" s="2"/>
      <c r="G5" s="6" t="s">
        <v>9</v>
      </c>
      <c r="H5" s="2">
        <f>H4/(1+0.1064)^5</f>
        <v>29514.46727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6"/>
      <c r="B6" s="3" t="s">
        <v>38</v>
      </c>
      <c r="C6" s="10">
        <v>0.43</v>
      </c>
      <c r="D6" s="5" t="s">
        <v>41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6"/>
      <c r="B7" s="3" t="s">
        <v>13</v>
      </c>
      <c r="C7" s="17">
        <f>C6*C5</f>
        <v>0.28595</v>
      </c>
      <c r="D7" s="2"/>
      <c r="E7" s="8"/>
      <c r="F7" s="8"/>
      <c r="G7" s="10"/>
      <c r="H7" s="2"/>
      <c r="I7" s="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6"/>
      <c r="B8" s="19"/>
      <c r="C8" s="19"/>
      <c r="D8" s="19"/>
      <c r="E8" s="19"/>
      <c r="F8" s="19"/>
      <c r="G8" s="19"/>
      <c r="H8" s="19"/>
      <c r="I8" s="1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6"/>
      <c r="B9" s="11">
        <v>2024.0</v>
      </c>
      <c r="C9" s="11">
        <v>2025.0</v>
      </c>
      <c r="D9" s="11">
        <v>2026.0</v>
      </c>
      <c r="E9" s="11">
        <v>2027.0</v>
      </c>
      <c r="F9" s="11">
        <v>2028.0</v>
      </c>
      <c r="G9" s="11">
        <v>2029.0</v>
      </c>
      <c r="H9" s="11">
        <v>2030.0</v>
      </c>
      <c r="I9" s="11">
        <v>2031.0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16</v>
      </c>
      <c r="B10" s="5">
        <f>1651</f>
        <v>1651</v>
      </c>
      <c r="C10" s="2">
        <f t="shared" ref="C10:I10" si="1">B10*(1+$C7)</f>
        <v>2123.10345</v>
      </c>
      <c r="D10" s="2">
        <f t="shared" si="1"/>
        <v>2730.204882</v>
      </c>
      <c r="E10" s="2">
        <f t="shared" si="1"/>
        <v>3510.906967</v>
      </c>
      <c r="F10" s="2">
        <f t="shared" si="1"/>
        <v>4514.850815</v>
      </c>
      <c r="G10" s="2">
        <f t="shared" si="1"/>
        <v>5805.872405</v>
      </c>
      <c r="H10" s="2">
        <f t="shared" si="1"/>
        <v>7466.061619</v>
      </c>
      <c r="I10" s="2">
        <f t="shared" si="1"/>
        <v>9600.98194</v>
      </c>
      <c r="J10" s="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17</v>
      </c>
      <c r="B11" s="10">
        <v>0.26</v>
      </c>
      <c r="C11" s="10">
        <f>B11*(1+$C7)</f>
        <v>0.334347</v>
      </c>
      <c r="D11" s="10">
        <f t="shared" ref="D11:I11" si="2">C11</f>
        <v>0.334347</v>
      </c>
      <c r="E11" s="10">
        <f t="shared" si="2"/>
        <v>0.334347</v>
      </c>
      <c r="F11" s="10">
        <f t="shared" si="2"/>
        <v>0.334347</v>
      </c>
      <c r="G11" s="10">
        <f t="shared" si="2"/>
        <v>0.334347</v>
      </c>
      <c r="H11" s="10">
        <f t="shared" si="2"/>
        <v>0.334347</v>
      </c>
      <c r="I11" s="10">
        <f t="shared" si="2"/>
        <v>0.334347</v>
      </c>
      <c r="J11" s="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18</v>
      </c>
      <c r="B12" s="2">
        <f t="shared" ref="B12:I12" si="3">B10*(1-B11)</f>
        <v>1221.74</v>
      </c>
      <c r="C12" s="2">
        <f t="shared" si="3"/>
        <v>1413.250181</v>
      </c>
      <c r="D12" s="2">
        <f t="shared" si="3"/>
        <v>1817.36907</v>
      </c>
      <c r="E12" s="2">
        <f t="shared" si="3"/>
        <v>2337.045756</v>
      </c>
      <c r="F12" s="2">
        <f t="shared" si="3"/>
        <v>3005.323989</v>
      </c>
      <c r="G12" s="2">
        <f t="shared" si="3"/>
        <v>3864.696384</v>
      </c>
      <c r="H12" s="2">
        <f t="shared" si="3"/>
        <v>4969.806315</v>
      </c>
      <c r="I12" s="2">
        <f t="shared" si="3"/>
        <v>6390.922431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19</v>
      </c>
      <c r="B13" s="5">
        <v>50.0</v>
      </c>
      <c r="C13" s="5">
        <f t="shared" ref="C13:I13" si="4">B13*(1+$C7)</f>
        <v>64.2975</v>
      </c>
      <c r="D13" s="5">
        <f t="shared" si="4"/>
        <v>82.68337013</v>
      </c>
      <c r="E13" s="5">
        <f t="shared" si="4"/>
        <v>106.3266798</v>
      </c>
      <c r="F13" s="5">
        <f t="shared" si="4"/>
        <v>136.7307939</v>
      </c>
      <c r="G13" s="5">
        <f t="shared" si="4"/>
        <v>175.8289644</v>
      </c>
      <c r="H13" s="5">
        <f t="shared" si="4"/>
        <v>226.1072568</v>
      </c>
      <c r="I13" s="5">
        <f t="shared" si="4"/>
        <v>290.7626269</v>
      </c>
      <c r="J13" s="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20</v>
      </c>
      <c r="B14" s="5">
        <v>273.0</v>
      </c>
      <c r="C14" s="5">
        <f t="shared" ref="C14:I14" si="5">B14*(1+$C7)</f>
        <v>351.06435</v>
      </c>
      <c r="D14" s="5">
        <f t="shared" si="5"/>
        <v>451.4512009</v>
      </c>
      <c r="E14" s="5">
        <f t="shared" si="5"/>
        <v>580.5436718</v>
      </c>
      <c r="F14" s="5">
        <f t="shared" si="5"/>
        <v>746.5501347</v>
      </c>
      <c r="G14" s="5">
        <f t="shared" si="5"/>
        <v>960.0261457</v>
      </c>
      <c r="H14" s="5">
        <f t="shared" si="5"/>
        <v>1234.545622</v>
      </c>
      <c r="I14" s="5">
        <f t="shared" si="5"/>
        <v>1587.563943</v>
      </c>
      <c r="J14" s="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21</v>
      </c>
      <c r="B15" s="5">
        <v>2579.0</v>
      </c>
      <c r="C15" s="5">
        <f t="shared" ref="C15:I15" si="6">B15</f>
        <v>2579</v>
      </c>
      <c r="D15" s="5">
        <f t="shared" si="6"/>
        <v>2579</v>
      </c>
      <c r="E15" s="5">
        <f t="shared" si="6"/>
        <v>2579</v>
      </c>
      <c r="F15" s="5">
        <f t="shared" si="6"/>
        <v>2579</v>
      </c>
      <c r="G15" s="5">
        <f t="shared" si="6"/>
        <v>2579</v>
      </c>
      <c r="H15" s="5">
        <f t="shared" si="6"/>
        <v>2579</v>
      </c>
      <c r="I15" s="5">
        <f t="shared" si="6"/>
        <v>2579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22</v>
      </c>
      <c r="B16" s="2">
        <f t="shared" ref="B16:I16" si="7">B12+B13-B14-B15</f>
        <v>-1580.26</v>
      </c>
      <c r="C16" s="2">
        <f t="shared" si="7"/>
        <v>-1452.516669</v>
      </c>
      <c r="D16" s="2">
        <f t="shared" si="7"/>
        <v>-1130.398761</v>
      </c>
      <c r="E16" s="2">
        <f t="shared" si="7"/>
        <v>-716.1712364</v>
      </c>
      <c r="F16" s="2">
        <f t="shared" si="7"/>
        <v>-183.4953514</v>
      </c>
      <c r="G16" s="2">
        <f t="shared" si="7"/>
        <v>501.4992028</v>
      </c>
      <c r="H16" s="2">
        <f t="shared" si="7"/>
        <v>1382.36795</v>
      </c>
      <c r="I16" s="2">
        <f t="shared" si="7"/>
        <v>2515.121115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23</v>
      </c>
      <c r="B17" s="2">
        <f>B16/((1+$C2)^0)</f>
        <v>-1580.26</v>
      </c>
      <c r="C17" s="2">
        <f>C16/((1+$C2)^1)</f>
        <v>-1312.831407</v>
      </c>
      <c r="D17" s="2">
        <f>D16/((1+$C2)^2)</f>
        <v>-923.437142</v>
      </c>
      <c r="E17" s="2">
        <f>E16/((1+$C2)^3)</f>
        <v>-528.7865172</v>
      </c>
      <c r="F17" s="2">
        <f>F16/((1+$C2)^4)</f>
        <v>-122.4549649</v>
      </c>
      <c r="G17" s="2">
        <f>G16/((1+$C2)^5)</f>
        <v>302.4888783</v>
      </c>
      <c r="H17" s="2">
        <f>H16/((1+$C2)^6)</f>
        <v>753.6169425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24</v>
      </c>
      <c r="B18" s="18">
        <f>SUM(B17:H17)+H5</f>
        <v>26102.80306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25</v>
      </c>
      <c r="B19" s="15">
        <v>26504.0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5" t="s">
        <v>42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